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ors\Desktop\"/>
    </mc:Choice>
  </mc:AlternateContent>
  <xr:revisionPtr revIDLastSave="0" documentId="13_ncr:1_{C678E94D-4D57-43F8-BCC9-5A30A461380E}" xr6:coauthVersionLast="47" xr6:coauthVersionMax="47" xr10:uidLastSave="{00000000-0000-0000-0000-000000000000}"/>
  <bookViews>
    <workbookView xWindow="-28920" yWindow="-90" windowWidth="29040" windowHeight="15720" xr2:uid="{99A7463F-D163-4C6C-A210-BE33BD632CC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3" i="1" l="1"/>
  <c r="F7" i="1"/>
  <c r="F6" i="1"/>
  <c r="F5" i="1"/>
  <c r="F4" i="1"/>
  <c r="F3" i="1"/>
  <c r="B43" i="1"/>
  <c r="F43" i="1" l="1"/>
</calcChain>
</file>

<file path=xl/sharedStrings.xml><?xml version="1.0" encoding="utf-8"?>
<sst xmlns="http://schemas.openxmlformats.org/spreadsheetml/2006/main" count="67" uniqueCount="64">
  <si>
    <t>קפה,דפים,,קלסרים ,ציוד משרדי,וכו</t>
  </si>
  <si>
    <t>פרסום</t>
  </si>
  <si>
    <t>אגרות</t>
  </si>
  <si>
    <t>רשם החברות,אגרות מדינה</t>
  </si>
  <si>
    <t>בר מים</t>
  </si>
  <si>
    <t>לחלק חצי עם ביובית</t>
  </si>
  <si>
    <t>שי לעובדים</t>
  </si>
  <si>
    <t>יפעת מכרזיים</t>
  </si>
  <si>
    <t>לבטל מנוי לשנה הבאה.</t>
  </si>
  <si>
    <t>הוצ טלפון</t>
  </si>
  <si>
    <t>לחלק חצי עם ביובית-לבדוק ולהוריד</t>
  </si>
  <si>
    <t>שירות תוכנת הנהלת חשבונות</t>
  </si>
  <si>
    <t>הוצאות תקשרות משאיות</t>
  </si>
  <si>
    <t>עיבוד שכר חילן+נוכחות (טיימדוקס)ושידור מסלקה</t>
  </si>
  <si>
    <t>הוצאות איתורן משאיות</t>
  </si>
  <si>
    <t>הובלות דלקים</t>
  </si>
  <si>
    <t>אחזקת מגרש עטרות</t>
  </si>
  <si>
    <t>שכירות מגרש</t>
  </si>
  <si>
    <t>הוצאות משאית 501</t>
  </si>
  <si>
    <t>הוצאת משאית 801</t>
  </si>
  <si>
    <t>הוצאות משאית 101</t>
  </si>
  <si>
    <t>הוצאות סילברדו 801 (רוני)</t>
  </si>
  <si>
    <t>משכורות</t>
  </si>
  <si>
    <t>סימים-לבדוק ולעשות סדר.</t>
  </si>
  <si>
    <t>לבדוק כמה יוצא לי לשלושה משאיות</t>
  </si>
  <si>
    <t>למכור את המשאית.</t>
  </si>
  <si>
    <t>דניה</t>
  </si>
  <si>
    <t>ב ש</t>
  </si>
  <si>
    <t>רן יוסף</t>
  </si>
  <si>
    <t>אבן עמי</t>
  </si>
  <si>
    <t>סי 4</t>
  </si>
  <si>
    <t>אחים סארה</t>
  </si>
  <si>
    <t>לקוח</t>
  </si>
  <si>
    <t>לכמות ליטרים</t>
  </si>
  <si>
    <t>רווח ברוטו</t>
  </si>
  <si>
    <t>הכנסות תוספים(אוריאה,שמנים)</t>
  </si>
  <si>
    <t>הכנסות כרטיסי תדלוק</t>
  </si>
  <si>
    <t>נאור</t>
  </si>
  <si>
    <t>נעמי</t>
  </si>
  <si>
    <t>אפרת</t>
  </si>
  <si>
    <t>ישראל</t>
  </si>
  <si>
    <t>לחלק חצי עם הביובית.</t>
  </si>
  <si>
    <t>אסף</t>
  </si>
  <si>
    <t>רוסטי</t>
  </si>
  <si>
    <t>הובלה לפי 0.10 אג לליטר-לתת לישראל לעשות-כניסה למסוף ישראל לטפל</t>
  </si>
  <si>
    <t>אהרון</t>
  </si>
  <si>
    <t>לשחרר.</t>
  </si>
  <si>
    <t>להתחיל תוכנית ב1/07/2026</t>
  </si>
  <si>
    <t>משימות</t>
  </si>
  <si>
    <t>הוצאות משפטיות</t>
  </si>
  <si>
    <t>הוצ פחת</t>
  </si>
  <si>
    <t>משרדיות(כולל אחזקת מדפסות)</t>
  </si>
  <si>
    <t>אחזקה משאיות</t>
  </si>
  <si>
    <t>תיקונים עווד</t>
  </si>
  <si>
    <t>ביגוד נהגים</t>
  </si>
  <si>
    <t>ביטוחי עובדים</t>
  </si>
  <si>
    <t xml:space="preserve">מורידים נהג.לעדכן </t>
  </si>
  <si>
    <t>קצין בטיחות</t>
  </si>
  <si>
    <t>צריך לחשב במדוייק רק את המכליות סולר.</t>
  </si>
  <si>
    <t>הדפסות (הרוש)</t>
  </si>
  <si>
    <t>ת.משלוח .</t>
  </si>
  <si>
    <t>הוצאות-חודשי</t>
  </si>
  <si>
    <t>הכנסות-חודשי</t>
  </si>
  <si>
    <t>שירותי מידע(דן אנד ברדסטרייט)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</si>
</sst>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₪&quot;\ * #,##0.00_ ;_ &quot;₪&quot;\ * \-#,##0.00_ ;_ &quot;₪&quot;\ * &quot;-&quot;??_ ;_ @_ "/>
  </numFmts>
  <fonts count="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0" fillId="0" borderId="3" xfId="0" applyBorder="1"/>
    <xf numFmtId="44" fontId="0" fillId="0" borderId="0" xfId="1" applyFont="1" applyBorder="1"/>
    <xf numFmtId="0" fontId="0" fillId="0" borderId="0" xfId="0" applyBorder="1"/>
    <xf numFmtId="0" fontId="0" fillId="0" borderId="4" xfId="0" applyBorder="1"/>
    <xf numFmtId="0" fontId="0" fillId="5" borderId="3" xfId="0" applyFill="1" applyBorder="1"/>
    <xf numFmtId="0" fontId="2" fillId="0" borderId="5" xfId="0" applyFont="1" applyBorder="1"/>
    <xf numFmtId="0" fontId="2" fillId="0" borderId="1" xfId="0" applyFont="1" applyBorder="1"/>
    <xf numFmtId="44" fontId="2" fillId="0" borderId="1" xfId="1" applyFont="1" applyBorder="1"/>
    <xf numFmtId="0" fontId="0" fillId="0" borderId="4" xfId="0" applyBorder="1" applyAlignment="1">
      <alignment horizontal="center"/>
    </xf>
    <xf numFmtId="0" fontId="0" fillId="3" borderId="4" xfId="0" applyFill="1" applyBorder="1"/>
    <xf numFmtId="0" fontId="0" fillId="4" borderId="4" xfId="0" applyFill="1" applyBorder="1"/>
    <xf numFmtId="0" fontId="0" fillId="6" borderId="4" xfId="0" applyFill="1" applyBorder="1"/>
    <xf numFmtId="0" fontId="2" fillId="0" borderId="6" xfId="0" applyFont="1" applyBorder="1"/>
    <xf numFmtId="0" fontId="0" fillId="2" borderId="4" xfId="0" applyFill="1" applyBorder="1"/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4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2F7C-FE65-4918-9198-359221BA0B0F}">
  <dimension ref="A1:G43"/>
  <sheetViews>
    <sheetView rightToLeft="1" tabSelected="1" workbookViewId="0">
      <selection activeCell="B22" sqref="B22"/>
    </sheetView>
  </sheetViews>
  <sheetFormatPr defaultRowHeight="14.25" x14ac:dyDescent="0.2"/>
  <cols>
    <col min="1" max="1" width="37.625" customWidth="1"/>
    <col min="2" max="2" width="17.125" style="1" customWidth="1"/>
    <col min="3" max="3" width="55" customWidth="1"/>
    <col min="4" max="4" width="27.875" customWidth="1"/>
    <col min="5" max="5" width="14.25" customWidth="1"/>
    <col min="6" max="6" width="14.25" bestFit="1" customWidth="1"/>
    <col min="7" max="7" width="25.75" customWidth="1"/>
    <col min="8" max="8" width="20.875" customWidth="1"/>
  </cols>
  <sheetData>
    <row r="1" spans="1:7" ht="15" thickBot="1" x14ac:dyDescent="0.25">
      <c r="A1" s="20" t="s">
        <v>61</v>
      </c>
      <c r="B1" s="21"/>
      <c r="C1" s="22"/>
      <c r="D1" s="17" t="s">
        <v>62</v>
      </c>
      <c r="E1" s="18"/>
      <c r="F1" s="19"/>
      <c r="G1" s="23" t="s">
        <v>48</v>
      </c>
    </row>
    <row r="2" spans="1:7" x14ac:dyDescent="0.2">
      <c r="A2" s="3" t="s">
        <v>51</v>
      </c>
      <c r="B2" s="4">
        <v>600</v>
      </c>
      <c r="C2" s="6" t="s">
        <v>0</v>
      </c>
      <c r="D2" s="3" t="s">
        <v>32</v>
      </c>
      <c r="E2" s="5" t="s">
        <v>33</v>
      </c>
      <c r="F2" s="6" t="s">
        <v>34</v>
      </c>
      <c r="G2" s="11" t="s">
        <v>47</v>
      </c>
    </row>
    <row r="3" spans="1:7" x14ac:dyDescent="0.2">
      <c r="A3" s="3" t="s">
        <v>1</v>
      </c>
      <c r="B3" s="4">
        <v>0</v>
      </c>
      <c r="C3" s="6"/>
      <c r="D3" s="3" t="s">
        <v>26</v>
      </c>
      <c r="E3" s="5">
        <v>40000</v>
      </c>
      <c r="F3" s="16">
        <f>E3*1.1</f>
        <v>44000</v>
      </c>
      <c r="G3" s="6"/>
    </row>
    <row r="4" spans="1:7" x14ac:dyDescent="0.2">
      <c r="A4" s="3" t="s">
        <v>2</v>
      </c>
      <c r="B4" s="4">
        <v>200</v>
      </c>
      <c r="C4" s="6" t="s">
        <v>3</v>
      </c>
      <c r="D4" s="3" t="s">
        <v>27</v>
      </c>
      <c r="E4" s="5">
        <v>40000</v>
      </c>
      <c r="F4" s="6">
        <f>E4*1.44</f>
        <v>57600</v>
      </c>
      <c r="G4" s="6"/>
    </row>
    <row r="5" spans="1:7" x14ac:dyDescent="0.2">
      <c r="A5" s="3" t="s">
        <v>4</v>
      </c>
      <c r="B5" s="4">
        <v>100</v>
      </c>
      <c r="C5" s="12" t="s">
        <v>5</v>
      </c>
      <c r="D5" s="3" t="s">
        <v>28</v>
      </c>
      <c r="E5" s="5">
        <v>10000</v>
      </c>
      <c r="F5" s="6">
        <f>E5*1.15</f>
        <v>11500</v>
      </c>
      <c r="G5" s="6"/>
    </row>
    <row r="6" spans="1:7" x14ac:dyDescent="0.2">
      <c r="A6" s="3" t="s">
        <v>6</v>
      </c>
      <c r="B6" s="4">
        <v>1000</v>
      </c>
      <c r="C6" s="6"/>
      <c r="D6" s="3" t="s">
        <v>29</v>
      </c>
      <c r="E6" s="5">
        <v>10000</v>
      </c>
      <c r="F6" s="6">
        <f>E6*1</f>
        <v>10000</v>
      </c>
      <c r="G6" s="6"/>
    </row>
    <row r="7" spans="1:7" x14ac:dyDescent="0.2">
      <c r="A7" s="3" t="s">
        <v>7</v>
      </c>
      <c r="B7" s="4">
        <v>0</v>
      </c>
      <c r="C7" s="6" t="s">
        <v>8</v>
      </c>
      <c r="D7" s="3" t="s">
        <v>30</v>
      </c>
      <c r="E7" s="5">
        <v>7000</v>
      </c>
      <c r="F7" s="6">
        <f>E7*1.45</f>
        <v>10150</v>
      </c>
      <c r="G7" s="6"/>
    </row>
    <row r="8" spans="1:7" x14ac:dyDescent="0.2">
      <c r="A8" s="3" t="s">
        <v>9</v>
      </c>
      <c r="B8" s="4">
        <v>610</v>
      </c>
      <c r="C8" s="12" t="s">
        <v>5</v>
      </c>
      <c r="D8" s="3" t="s">
        <v>31</v>
      </c>
      <c r="E8" s="5"/>
      <c r="F8" s="6"/>
      <c r="G8" s="6"/>
    </row>
    <row r="9" spans="1:7" x14ac:dyDescent="0.2">
      <c r="A9" s="3" t="s">
        <v>13</v>
      </c>
      <c r="B9" s="4">
        <v>1000</v>
      </c>
      <c r="C9" s="13" t="s">
        <v>10</v>
      </c>
      <c r="D9" s="3" t="s">
        <v>35</v>
      </c>
      <c r="E9" s="5"/>
      <c r="F9" s="6"/>
      <c r="G9" s="6"/>
    </row>
    <row r="10" spans="1:7" x14ac:dyDescent="0.2">
      <c r="A10" s="3" t="s">
        <v>11</v>
      </c>
      <c r="B10" s="4">
        <v>1320</v>
      </c>
      <c r="C10" s="12" t="s">
        <v>5</v>
      </c>
      <c r="D10" s="3" t="s">
        <v>36</v>
      </c>
      <c r="E10" s="5"/>
      <c r="F10" s="6"/>
      <c r="G10" s="6"/>
    </row>
    <row r="11" spans="1:7" x14ac:dyDescent="0.2">
      <c r="A11" s="3" t="s">
        <v>12</v>
      </c>
      <c r="B11" s="4">
        <v>0</v>
      </c>
      <c r="C11" s="6" t="s">
        <v>23</v>
      </c>
      <c r="D11" s="3"/>
      <c r="E11" s="5"/>
      <c r="F11" s="6"/>
      <c r="G11" s="6"/>
    </row>
    <row r="12" spans="1:7" x14ac:dyDescent="0.2">
      <c r="A12" s="3" t="s">
        <v>14</v>
      </c>
      <c r="B12" s="4">
        <v>0</v>
      </c>
      <c r="C12" s="6" t="s">
        <v>24</v>
      </c>
      <c r="D12" s="3"/>
      <c r="E12" s="5"/>
      <c r="F12" s="6"/>
      <c r="G12" s="6"/>
    </row>
    <row r="13" spans="1:7" x14ac:dyDescent="0.2">
      <c r="A13" s="3" t="s">
        <v>15</v>
      </c>
      <c r="B13" s="4">
        <v>15000</v>
      </c>
      <c r="C13" s="14" t="s">
        <v>44</v>
      </c>
      <c r="D13" s="3"/>
      <c r="E13" s="5"/>
      <c r="F13" s="6"/>
      <c r="G13" s="6"/>
    </row>
    <row r="14" spans="1:7" x14ac:dyDescent="0.2">
      <c r="A14" s="3" t="s">
        <v>16</v>
      </c>
      <c r="B14" s="4">
        <v>800</v>
      </c>
      <c r="C14" s="6"/>
      <c r="D14" s="3"/>
      <c r="E14" s="5"/>
      <c r="F14" s="6"/>
      <c r="G14" s="6"/>
    </row>
    <row r="15" spans="1:7" x14ac:dyDescent="0.2">
      <c r="A15" s="3" t="s">
        <v>17</v>
      </c>
      <c r="B15" s="4">
        <v>7687</v>
      </c>
      <c r="C15" s="6"/>
      <c r="D15" s="3"/>
      <c r="E15" s="5"/>
      <c r="F15" s="6"/>
      <c r="G15" s="6"/>
    </row>
    <row r="16" spans="1:7" x14ac:dyDescent="0.2">
      <c r="A16" s="3" t="s">
        <v>52</v>
      </c>
      <c r="B16" s="4"/>
      <c r="C16" s="6" t="s">
        <v>53</v>
      </c>
      <c r="D16" s="3"/>
      <c r="E16" s="5"/>
      <c r="F16" s="6"/>
      <c r="G16" s="6"/>
    </row>
    <row r="17" spans="1:7" x14ac:dyDescent="0.2">
      <c r="A17" s="3" t="s">
        <v>54</v>
      </c>
      <c r="B17" s="4">
        <v>200</v>
      </c>
      <c r="C17" s="6"/>
      <c r="D17" s="3"/>
      <c r="E17" s="5"/>
      <c r="F17" s="6"/>
      <c r="G17" s="6"/>
    </row>
    <row r="18" spans="1:7" x14ac:dyDescent="0.2">
      <c r="A18" s="3" t="s">
        <v>55</v>
      </c>
      <c r="B18" s="4">
        <v>780</v>
      </c>
      <c r="C18" s="24" t="s">
        <v>56</v>
      </c>
      <c r="D18" s="3"/>
      <c r="E18" s="5"/>
      <c r="F18" s="6"/>
      <c r="G18" s="6"/>
    </row>
    <row r="19" spans="1:7" x14ac:dyDescent="0.2">
      <c r="A19" s="3" t="s">
        <v>57</v>
      </c>
      <c r="B19" s="4">
        <v>750</v>
      </c>
      <c r="C19" s="24" t="s">
        <v>58</v>
      </c>
      <c r="D19" s="3"/>
      <c r="E19" s="5"/>
      <c r="F19" s="6"/>
      <c r="G19" s="6"/>
    </row>
    <row r="20" spans="1:7" x14ac:dyDescent="0.2">
      <c r="A20" s="3" t="s">
        <v>59</v>
      </c>
      <c r="B20" s="4">
        <v>750</v>
      </c>
      <c r="C20" s="24" t="s">
        <v>60</v>
      </c>
      <c r="D20" s="3"/>
      <c r="E20" s="5"/>
      <c r="F20" s="6"/>
      <c r="G20" s="6"/>
    </row>
    <row r="21" spans="1:7" x14ac:dyDescent="0.2">
      <c r="A21" s="3" t="s">
        <v>63</v>
      </c>
      <c r="B21" s="4">
        <v>625</v>
      </c>
      <c r="C21" s="24"/>
      <c r="D21" s="3"/>
      <c r="E21" s="5"/>
      <c r="F21" s="6"/>
      <c r="G21" s="6"/>
    </row>
    <row r="22" spans="1:7" x14ac:dyDescent="0.2">
      <c r="A22" s="3" t="s">
        <v>18</v>
      </c>
      <c r="B22" s="4">
        <v>0</v>
      </c>
      <c r="C22" s="6" t="s">
        <v>25</v>
      </c>
      <c r="D22" s="3"/>
      <c r="E22" s="5"/>
      <c r="F22" s="6"/>
      <c r="G22" s="6"/>
    </row>
    <row r="23" spans="1:7" x14ac:dyDescent="0.2">
      <c r="A23" s="3" t="s">
        <v>19</v>
      </c>
      <c r="B23" s="4">
        <v>0</v>
      </c>
      <c r="C23" s="6"/>
      <c r="D23" s="3"/>
      <c r="E23" s="5"/>
      <c r="F23" s="6"/>
      <c r="G23" s="6"/>
    </row>
    <row r="24" spans="1:7" x14ac:dyDescent="0.2">
      <c r="A24" s="3" t="s">
        <v>20</v>
      </c>
      <c r="B24" s="4">
        <v>0</v>
      </c>
      <c r="C24" s="6"/>
      <c r="D24" s="3"/>
      <c r="E24" s="5"/>
      <c r="F24" s="6"/>
      <c r="G24" s="6"/>
    </row>
    <row r="25" spans="1:7" x14ac:dyDescent="0.2">
      <c r="A25" s="3" t="s">
        <v>21</v>
      </c>
      <c r="B25" s="4">
        <v>0</v>
      </c>
      <c r="C25" s="6"/>
      <c r="D25" s="3"/>
      <c r="E25" s="5"/>
      <c r="F25" s="6"/>
      <c r="G25" s="6"/>
    </row>
    <row r="26" spans="1:7" x14ac:dyDescent="0.2">
      <c r="A26" s="3" t="s">
        <v>49</v>
      </c>
      <c r="B26" s="4">
        <v>0</v>
      </c>
      <c r="C26" s="6"/>
      <c r="D26" s="3"/>
      <c r="E26" s="5"/>
      <c r="F26" s="6"/>
      <c r="G26" s="6"/>
    </row>
    <row r="27" spans="1:7" x14ac:dyDescent="0.2">
      <c r="A27" s="3" t="s">
        <v>50</v>
      </c>
      <c r="B27" s="4"/>
      <c r="C27" s="6"/>
      <c r="D27" s="3"/>
      <c r="E27" s="5"/>
      <c r="F27" s="6"/>
      <c r="G27" s="6"/>
    </row>
    <row r="28" spans="1:7" x14ac:dyDescent="0.2">
      <c r="A28" s="7" t="s">
        <v>22</v>
      </c>
      <c r="B28" s="4"/>
      <c r="C28" s="6"/>
      <c r="D28" s="3"/>
      <c r="E28" s="5"/>
      <c r="F28" s="6"/>
      <c r="G28" s="6"/>
    </row>
    <row r="29" spans="1:7" x14ac:dyDescent="0.2">
      <c r="A29" s="3" t="s">
        <v>37</v>
      </c>
      <c r="B29" s="4">
        <v>25000</v>
      </c>
      <c r="C29" s="6"/>
      <c r="D29" s="3"/>
      <c r="E29" s="5"/>
      <c r="F29" s="6"/>
      <c r="G29" s="6"/>
    </row>
    <row r="30" spans="1:7" x14ac:dyDescent="0.2">
      <c r="A30" s="3" t="s">
        <v>38</v>
      </c>
      <c r="B30" s="4">
        <v>7500</v>
      </c>
      <c r="C30" s="6" t="s">
        <v>41</v>
      </c>
      <c r="D30" s="3"/>
      <c r="E30" s="5"/>
      <c r="F30" s="6"/>
      <c r="G30" s="6"/>
    </row>
    <row r="31" spans="1:7" x14ac:dyDescent="0.2">
      <c r="A31" s="3" t="s">
        <v>39</v>
      </c>
      <c r="B31" s="4">
        <v>8000</v>
      </c>
      <c r="C31" s="6" t="s">
        <v>41</v>
      </c>
      <c r="D31" s="3"/>
      <c r="E31" s="5"/>
      <c r="F31" s="6"/>
      <c r="G31" s="6"/>
    </row>
    <row r="32" spans="1:7" x14ac:dyDescent="0.2">
      <c r="A32" s="3" t="s">
        <v>40</v>
      </c>
      <c r="B32" s="4">
        <v>16000</v>
      </c>
      <c r="C32" s="6"/>
      <c r="D32" s="3"/>
      <c r="E32" s="5"/>
      <c r="F32" s="6"/>
      <c r="G32" s="6"/>
    </row>
    <row r="33" spans="1:7" x14ac:dyDescent="0.2">
      <c r="A33" s="3" t="s">
        <v>42</v>
      </c>
      <c r="B33" s="4">
        <v>15000</v>
      </c>
      <c r="C33" s="6"/>
      <c r="D33" s="3"/>
      <c r="E33" s="5"/>
      <c r="F33" s="6"/>
      <c r="G33" s="6"/>
    </row>
    <row r="34" spans="1:7" x14ac:dyDescent="0.2">
      <c r="A34" s="3" t="s">
        <v>43</v>
      </c>
      <c r="B34" s="4">
        <v>15000</v>
      </c>
      <c r="C34" s="6"/>
      <c r="D34" s="3"/>
      <c r="E34" s="5"/>
      <c r="F34" s="6"/>
      <c r="G34" s="6"/>
    </row>
    <row r="35" spans="1:7" x14ac:dyDescent="0.2">
      <c r="A35" s="3" t="s">
        <v>45</v>
      </c>
      <c r="B35" s="4"/>
      <c r="C35" s="6" t="s">
        <v>46</v>
      </c>
      <c r="D35" s="3"/>
      <c r="E35" s="5"/>
      <c r="F35" s="6"/>
      <c r="G35" s="6"/>
    </row>
    <row r="36" spans="1:7" x14ac:dyDescent="0.2">
      <c r="A36" s="3"/>
      <c r="B36" s="4"/>
      <c r="C36" s="6"/>
      <c r="D36" s="3"/>
      <c r="E36" s="5"/>
      <c r="F36" s="6"/>
      <c r="G36" s="6"/>
    </row>
    <row r="37" spans="1:7" x14ac:dyDescent="0.2">
      <c r="A37" s="3"/>
      <c r="B37" s="4"/>
      <c r="C37" s="6"/>
      <c r="D37" s="3"/>
      <c r="E37" s="5"/>
      <c r="F37" s="6"/>
      <c r="G37" s="6"/>
    </row>
    <row r="38" spans="1:7" x14ac:dyDescent="0.2">
      <c r="A38" s="3"/>
      <c r="B38" s="4"/>
      <c r="C38" s="6"/>
      <c r="D38" s="3"/>
      <c r="E38" s="5"/>
      <c r="F38" s="6"/>
      <c r="G38" s="6"/>
    </row>
    <row r="39" spans="1:7" x14ac:dyDescent="0.2">
      <c r="A39" s="3"/>
      <c r="B39" s="4"/>
      <c r="C39" s="6"/>
      <c r="D39" s="3"/>
      <c r="E39" s="5"/>
      <c r="F39" s="6"/>
      <c r="G39" s="6"/>
    </row>
    <row r="40" spans="1:7" x14ac:dyDescent="0.2">
      <c r="A40" s="3"/>
      <c r="B40" s="4"/>
      <c r="C40" s="6"/>
      <c r="D40" s="3"/>
      <c r="E40" s="5"/>
      <c r="F40" s="6"/>
      <c r="G40" s="6"/>
    </row>
    <row r="41" spans="1:7" x14ac:dyDescent="0.2">
      <c r="A41" s="3"/>
      <c r="B41" s="4"/>
      <c r="C41" s="6"/>
      <c r="D41" s="3"/>
      <c r="E41" s="5"/>
      <c r="F41" s="6"/>
      <c r="G41" s="6"/>
    </row>
    <row r="42" spans="1:7" x14ac:dyDescent="0.2">
      <c r="A42" s="3"/>
      <c r="B42" s="4"/>
      <c r="C42" s="6"/>
      <c r="D42" s="3"/>
      <c r="E42" s="5"/>
      <c r="F42" s="6"/>
      <c r="G42" s="6"/>
    </row>
    <row r="43" spans="1:7" s="2" customFormat="1" ht="15.75" thickBot="1" x14ac:dyDescent="0.25">
      <c r="A43" s="15"/>
      <c r="B43" s="10">
        <f>SUM(B2:B42)</f>
        <v>117922</v>
      </c>
      <c r="C43" s="8"/>
      <c r="D43" s="15"/>
      <c r="E43" s="9">
        <f>SUM(E3:E11)</f>
        <v>107000</v>
      </c>
      <c r="F43" s="10">
        <f>SUM(F3:F11)</f>
        <v>133250</v>
      </c>
      <c r="G43" s="8"/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- וזאת הברכה</dc:creator>
  <cp:lastModifiedBy>נאור - וזאת הברכה</cp:lastModifiedBy>
  <dcterms:created xsi:type="dcterms:W3CDTF">2026-05-26T10:37:53Z</dcterms:created>
  <dcterms:modified xsi:type="dcterms:W3CDTF">2026-05-26T12:11:33Z</dcterms:modified>
</cp:coreProperties>
</file>